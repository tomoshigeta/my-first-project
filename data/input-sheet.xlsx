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基本情報" sheetId="2" state="visible" r:id="rId4"/>
    <sheet name="不動産" sheetId="3" state="visible" r:id="rId5"/>
    <sheet name="有価証券" sheetId="4" state="visible" r:id="rId6"/>
    <sheet name="預貯金" sheetId="5" state="visible" r:id="rId7"/>
    <sheet name="その他の借入" sheetId="6" state="visible" r:id="rId8"/>
    <sheet name="検算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WenQuanYi Zen Hei"/>
            <family val="2"/>
          </rPr>
          <t xml:space="preserve">借りたときの金額です。「残債」は今あといくら残っているか。差額が「累計返済額」として自動で出ます。</t>
        </r>
      </text>
    </comment>
    <comment ref="P4" authorId="0">
      <text>
        <r>
          <rPr>
            <sz val="10"/>
            <rFont val="WenQuanYi Zen Hei"/>
            <family val="2"/>
          </rPr>
          <t xml:space="preserve">年額を入れてください。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年ぶんです。右の「固定資産税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」は </t>
        </r>
        <r>
          <rPr>
            <sz val="10"/>
            <rFont val="Arial"/>
            <family val="2"/>
          </rPr>
          <t xml:space="preserve">12 </t>
        </r>
        <r>
          <rPr>
            <sz val="10"/>
            <rFont val="WenQuanYi Zen Hei"/>
            <family val="2"/>
          </rPr>
          <t xml:space="preserve">で割った平均月額で、自動計算です。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WenQuanYi Zen Hei"/>
            <family val="2"/>
          </rPr>
          <t xml:space="preserve">「基本情報」タブの為替レートに書いた通貨だけ使えます。</t>
        </r>
      </text>
    </comment>
  </commentList>
</comments>
</file>

<file path=xl/sharedStrings.xml><?xml version="1.0" encoding="utf-8"?>
<sst xmlns="http://schemas.openxmlformats.org/spreadsheetml/2006/main" count="171" uniqueCount="141">
  <si>
    <t xml:space="preserve">資産ダッシュボード 入力シート</t>
  </si>
  <si>
    <r>
      <rPr>
        <b val="true"/>
        <sz val="11"/>
        <rFont val="WenQuanYi Zen Hei"/>
        <family val="2"/>
      </rPr>
      <t xml:space="preserve">使い方は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ステップ</t>
    </r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</si>
  <si>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下のタブ（基本情報・不動産・有価証券・預貯金・その他の借入）を順に埋めます。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</si>
  <si>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「ファイル → 名前を変えて保存」で </t>
    </r>
    <r>
      <rPr>
        <sz val="10"/>
        <rFont val="Arial"/>
        <family val="0"/>
        <charset val="1"/>
      </rPr>
      <t xml:space="preserve">my-assets.xlsx </t>
    </r>
    <r>
      <rPr>
        <sz val="10"/>
        <rFont val="WenQuanYi Zen Hei"/>
        <family val="2"/>
      </rPr>
      <t xml:space="preserve">として保存します（この白紙のひな形は残しておきます）。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</si>
  <si>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このファイルを </t>
    </r>
    <r>
      <rPr>
        <sz val="10"/>
        <rFont val="Arial"/>
        <family val="0"/>
        <charset val="1"/>
      </rPr>
      <t xml:space="preserve">Claude </t>
    </r>
    <r>
      <rPr>
        <sz val="10"/>
        <rFont val="WenQuanYi Zen Hei"/>
        <family val="2"/>
      </rPr>
      <t xml:space="preserve">とのチャットに送ります。</t>
    </r>
    <r>
      <rPr>
        <sz val="10"/>
        <rFont val="Arial"/>
        <family val="0"/>
        <charset val="1"/>
      </rPr>
      <t xml:space="preserve">my-assets.json </t>
    </r>
    <r>
      <rPr>
        <sz val="10"/>
        <rFont val="WenQuanYi Zen Hei"/>
        <family val="2"/>
      </rPr>
      <t xml:space="preserve">に変換してお返しします。</t>
    </r>
  </si>
  <si>
    <t xml:space="preserve">セルの色の意味</t>
  </si>
  <si>
    <t xml:space="preserve">薄い黄色　＝　あなたが入れる欄（文字は青）</t>
  </si>
  <si>
    <r>
      <rPr>
        <sz val="10"/>
        <rFont val="WenQuanYi Zen Hei"/>
        <family val="2"/>
      </rPr>
      <t xml:space="preserve">薄い灰色　＝　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が自動で計算する欄（さわらないでください）</t>
    </r>
  </si>
  <si>
    <t xml:space="preserve">（例）</t>
  </si>
  <si>
    <t xml:space="preserve">灰色の斜体　＝　書き方の見本。消しても残しても構いません（変換のとき読み飛ばします）</t>
  </si>
  <si>
    <t xml:space="preserve">入力するときの決まり</t>
  </si>
  <si>
    <r>
      <rPr>
        <sz val="10"/>
        <rFont val="WenQuanYi Zen Hei"/>
        <family val="2"/>
      </rPr>
      <t xml:space="preserve">・金額は「円」で入れます。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万円は </t>
    </r>
    <r>
      <rPr>
        <sz val="10"/>
        <rFont val="Arial"/>
        <family val="0"/>
        <charset val="1"/>
      </rPr>
      <t xml:space="preserve">10000 </t>
    </r>
    <r>
      <rPr>
        <sz val="10"/>
        <rFont val="WenQuanYi Zen Hei"/>
        <family val="2"/>
      </rPr>
      <t xml:space="preserve">です。カンマ（</t>
    </r>
    <r>
      <rPr>
        <sz val="10"/>
        <rFont val="Arial"/>
        <family val="0"/>
        <charset val="1"/>
      </rPr>
      <t xml:space="preserve">,</t>
    </r>
    <r>
      <rPr>
        <sz val="10"/>
        <rFont val="WenQuanYi Zen Hei"/>
        <family val="2"/>
      </rPr>
      <t xml:space="preserve">）は自分で打たなくて構いません。</t>
    </r>
  </si>
  <si>
    <r>
      <rPr>
        <sz val="10"/>
        <rFont val="WenQuanYi Zen Hei"/>
        <family val="2"/>
      </rPr>
      <t xml:space="preserve">・「月」と書いてある欄は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か月分の金額です。固定資産税だけは年額を入れてください（月額は自動で計算します）。</t>
    </r>
  </si>
  <si>
    <t xml:space="preserve">・数字は半角で入れます。全角の１２３は使えません。</t>
  </si>
  <si>
    <r>
      <rPr>
        <sz val="10"/>
        <rFont val="WenQuanYi Zen Hei"/>
        <family val="2"/>
      </rPr>
      <t xml:space="preserve">・持っていない項目は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のままにします。行ごと消す必要はありません。</t>
    </r>
  </si>
  <si>
    <t xml:space="preserve">・行が足りなくなったら、一番下の行をコピーして貼り付けて増やしてください。</t>
  </si>
  <si>
    <t xml:space="preserve">気をつけていただきたいこと</t>
  </si>
  <si>
    <r>
      <rPr>
        <sz val="10"/>
        <rFont val="WenQuanYi Zen Hei"/>
        <family val="2"/>
      </rPr>
      <t xml:space="preserve">このファイルには氏名と資産の全額が入ります。メールやクラウドに置いたままにせず、</t>
    </r>
    <r>
      <rPr>
        <sz val="10"/>
        <rFont val="Arial"/>
        <family val="0"/>
        <charset val="1"/>
      </rPr>
      <t xml:space="preserve">Mac </t>
    </r>
    <r>
      <rPr>
        <sz val="10"/>
        <rFont val="WenQuanYi Zen Hei"/>
        <family val="2"/>
      </rPr>
      <t xml:space="preserve">の中で保管してください。</t>
    </r>
  </si>
  <si>
    <r>
      <rPr>
        <sz val="10"/>
        <rFont val="Arial"/>
        <family val="0"/>
        <charset val="1"/>
      </rPr>
      <t xml:space="preserve">GitHub </t>
    </r>
    <r>
      <rPr>
        <sz val="10"/>
        <rFont val="WenQuanYi Zen Hei"/>
        <family val="2"/>
      </rPr>
      <t xml:space="preserve">には上げません（</t>
    </r>
    <r>
      <rPr>
        <sz val="10"/>
        <rFont val="Arial"/>
        <family val="0"/>
        <charset val="1"/>
      </rPr>
      <t xml:space="preserve">data/ </t>
    </r>
    <r>
      <rPr>
        <sz val="10"/>
        <rFont val="WenQuanYi Zen Hei"/>
        <family val="2"/>
      </rPr>
      <t xml:space="preserve">フォルダは白紙のひな形と説明書以外が除外してあります）。</t>
    </r>
  </si>
  <si>
    <t xml:space="preserve">「検算」タブに合計と、つじつまの合わない箇所の警告が出ます。送る前に一度ご覧ください。</t>
  </si>
  <si>
    <t xml:space="preserve">基本情報</t>
  </si>
  <si>
    <t xml:space="preserve">項目</t>
  </si>
  <si>
    <t xml:space="preserve">入力</t>
  </si>
  <si>
    <t xml:space="preserve">説明</t>
  </si>
  <si>
    <t xml:space="preserve">氏名</t>
  </si>
  <si>
    <t xml:space="preserve">山田 太郎</t>
  </si>
  <si>
    <t xml:space="preserve">画面の左上に出ます</t>
  </si>
  <si>
    <t xml:space="preserve">基準日</t>
  </si>
  <si>
    <t xml:space="preserve">2026-09-01</t>
  </si>
  <si>
    <r>
      <rPr>
        <sz val="9"/>
        <color rgb="FF595959"/>
        <rFont val="WenQuanYi Zen Hei"/>
        <family val="2"/>
      </rPr>
      <t xml:space="preserve">いつ時点の数字か。</t>
    </r>
    <r>
      <rPr>
        <sz val="9"/>
        <color rgb="FF595959"/>
        <rFont val="Arial"/>
        <family val="0"/>
        <charset val="1"/>
      </rPr>
      <t xml:space="preserve">2026-09-01 </t>
    </r>
    <r>
      <rPr>
        <sz val="9"/>
        <color rgb="FF595959"/>
        <rFont val="WenQuanYi Zen Hei"/>
        <family val="2"/>
      </rPr>
      <t xml:space="preserve">の形で入れます</t>
    </r>
  </si>
  <si>
    <t xml:space="preserve">為替レート</t>
  </si>
  <si>
    <t xml:space="preserve">外貨を持っている場合だけ入れます。「その日のレート」を手で固定します（自動では取りません）。</t>
  </si>
  <si>
    <t xml:space="preserve">通貨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</si>
  <si>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単位あたりの円</t>
    </r>
  </si>
  <si>
    <t xml:space="preserve">JPY</t>
  </si>
  <si>
    <r>
      <rPr>
        <sz val="9"/>
        <color rgb="FF595959"/>
        <rFont val="WenQuanYi Zen Hei"/>
        <family val="2"/>
      </rPr>
      <t xml:space="preserve">日本円。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のまま変えないでください</t>
    </r>
  </si>
  <si>
    <t xml:space="preserve">USD</t>
  </si>
  <si>
    <r>
      <rPr>
        <sz val="9"/>
        <color rgb="FF595959"/>
        <rFont val="WenQuanYi Zen Hei"/>
        <family val="2"/>
      </rPr>
      <t xml:space="preserve">米ドル。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ドルが何円か</t>
    </r>
  </si>
  <si>
    <r>
      <rPr>
        <sz val="9"/>
        <color rgb="FF595959"/>
        <rFont val="WenQuanYi Zen Hei"/>
        <family val="2"/>
      </rPr>
      <t xml:space="preserve">他の通貨があれば（例</t>
    </r>
    <r>
      <rPr>
        <sz val="9"/>
        <color rgb="FF595959"/>
        <rFont val="Arial"/>
        <family val="0"/>
        <charset val="1"/>
      </rPr>
      <t xml:space="preserve">: EUR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</si>
  <si>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4"/>
        <rFont val="WenQuanYi Zen Hei"/>
        <family val="2"/>
      </rPr>
      <t xml:space="preserve">不動産　（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行に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つの物件）</t>
    </r>
  </si>
  <si>
    <r>
      <rPr>
        <sz val="9"/>
        <color rgb="FF595959"/>
        <rFont val="WenQuanYi Zen Hei"/>
        <family val="2"/>
      </rPr>
      <t xml:space="preserve">灰色の「総投資額」「累計返済額」「固定資産税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月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」「月次収支」は自動で計算されます。</t>
    </r>
  </si>
  <si>
    <t xml:space="preserve">物件名</t>
  </si>
  <si>
    <t xml:space="preserve">住所</t>
  </si>
  <si>
    <r>
      <rPr>
        <b val="true"/>
        <sz val="10"/>
        <color rgb="FFFFFFFF"/>
        <rFont val="WenQuanYi Zen Hei"/>
        <family val="2"/>
      </rPr>
      <t xml:space="preserve">広さ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</si>
  <si>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階数</t>
  </si>
  <si>
    <t xml:space="preserve">築年数</t>
  </si>
  <si>
    <t xml:space="preserve">自己資金</t>
  </si>
  <si>
    <t xml:space="preserve">当初借入額</t>
  </si>
  <si>
    <t xml:space="preserve">残債</t>
  </si>
  <si>
    <t xml:space="preserve">借入先</t>
  </si>
  <si>
    <r>
      <rPr>
        <b val="true"/>
        <sz val="10"/>
        <color rgb="FFFFFFFF"/>
        <rFont val="WenQuanYi Zen Hei"/>
        <family val="2"/>
      </rPr>
      <t xml:space="preserve">金利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%)</t>
    </r>
  </si>
  <si>
    <r>
      <rPr>
        <b val="true"/>
        <sz val="10"/>
        <color rgb="FFFFFFFF"/>
        <rFont val="WenQuanYi Zen Hei"/>
        <family val="2"/>
      </rPr>
      <t xml:space="preserve">借入期間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</si>
  <si>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毎月の返済額</t>
  </si>
  <si>
    <r>
      <rPr>
        <b val="true"/>
        <sz val="10"/>
        <color rgb="FFFFFFFF"/>
        <rFont val="WenQuanYi Zen Hei"/>
        <family val="2"/>
      </rPr>
      <t xml:space="preserve">家賃収入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</si>
  <si>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管理費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</si>
  <si>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修繕積立金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</si>
  <si>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固定資産税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年額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</si>
  <si>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総投資額</t>
  </si>
  <si>
    <t xml:space="preserve">累計返済額</t>
  </si>
  <si>
    <r>
      <rPr>
        <b val="true"/>
        <sz val="10"/>
        <color rgb="FFFFFFFF"/>
        <rFont val="WenQuanYi Zen Hei"/>
        <family val="2"/>
      </rPr>
      <t xml:space="preserve">固定資産税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</si>
  <si>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月次収支</t>
  </si>
  <si>
    <r>
      <rPr>
        <i val="true"/>
        <sz val="10"/>
        <color rgb="FF808080"/>
        <rFont val="WenQuanYi Zen Hei"/>
        <family val="2"/>
      </rPr>
      <t xml:space="preserve">（例）物件</t>
    </r>
    <r>
      <rPr>
        <i val="true"/>
        <sz val="10"/>
        <color rgb="FF808080"/>
        <rFont val="Arial"/>
        <family val="0"/>
        <charset val="1"/>
      </rPr>
      <t xml:space="preserve">A</t>
    </r>
  </si>
  <si>
    <t xml:space="preserve">東京都港区白金台</t>
  </si>
  <si>
    <r>
      <rPr>
        <i val="true"/>
        <sz val="10"/>
        <color rgb="FF808080"/>
        <rFont val="Arial"/>
        <family val="0"/>
        <charset val="1"/>
      </rPr>
      <t xml:space="preserve">3 / 10 </t>
    </r>
    <r>
      <rPr>
        <i val="true"/>
        <sz val="10"/>
        <color rgb="FF808080"/>
        <rFont val="WenQuanYi Zen Hei"/>
        <family val="2"/>
      </rPr>
      <t xml:space="preserve">階</t>
    </r>
  </si>
  <si>
    <r>
      <rPr>
        <i val="true"/>
        <sz val="10"/>
        <color rgb="FF808080"/>
        <rFont val="Arial"/>
        <family val="0"/>
        <charset val="1"/>
      </rPr>
      <t xml:space="preserve">A</t>
    </r>
    <r>
      <rPr>
        <i val="true"/>
        <sz val="10"/>
        <color rgb="FF808080"/>
        <rFont val="WenQuanYi Zen Hei"/>
        <family val="2"/>
      </rPr>
      <t xml:space="preserve">銀行</t>
    </r>
  </si>
  <si>
    <r>
      <rPr>
        <sz val="9"/>
        <color rgb="FF595959"/>
        <rFont val="WenQuanYi Zen Hei"/>
        <family val="2"/>
      </rPr>
      <t xml:space="preserve">※ 行が足りないときは、最終行（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WenQuanYi Zen Hei"/>
        <family val="2"/>
      </rPr>
      <t xml:space="preserve">行目）をコピーして下に貼り付けてください。数式も一緒に増えます。</t>
    </r>
  </si>
  <si>
    <r>
      <rPr>
        <b val="true"/>
        <sz val="14"/>
        <rFont val="WenQuanYi Zen Hei"/>
        <family val="2"/>
      </rPr>
      <t xml:space="preserve">有価証券　（国内・海外 </t>
    </r>
    <r>
      <rPr>
        <b val="true"/>
        <sz val="14"/>
        <rFont val="Arial"/>
        <family val="0"/>
        <charset val="1"/>
      </rPr>
      <t xml:space="preserve">× 4</t>
    </r>
    <r>
      <rPr>
        <b val="true"/>
        <sz val="14"/>
        <rFont val="WenQuanYi Zen Hei"/>
        <family val="2"/>
      </rPr>
      <t xml:space="preserve">種類 ＝ </t>
    </r>
    <r>
      <rPr>
        <b val="true"/>
        <sz val="14"/>
        <rFont val="Arial"/>
        <family val="0"/>
        <charset val="1"/>
      </rPr>
      <t xml:space="preserve">8</t>
    </r>
    <r>
      <rPr>
        <b val="true"/>
        <sz val="14"/>
        <rFont val="WenQuanYi Zen Hei"/>
        <family val="2"/>
      </rPr>
      <t xml:space="preserve">行で固定）</t>
    </r>
  </si>
  <si>
    <r>
      <rPr>
        <sz val="9"/>
        <color rgb="FF595959"/>
        <rFont val="WenQuanYi Zen Hei"/>
        <family val="2"/>
      </rPr>
      <t xml:space="preserve">持っていない種類は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のままにします（行は消しません。入れ忘れに気づけるようにするためです）。</t>
    </r>
  </si>
  <si>
    <t xml:space="preserve">「その他」は暗号資産・金・銀などをまとめる欄です。金額はその通貨のままで入れます（円換算は自動）。</t>
  </si>
  <si>
    <t xml:space="preserve">地域</t>
  </si>
  <si>
    <t xml:space="preserve">種類</t>
  </si>
  <si>
    <t xml:space="preserve">取得原価</t>
  </si>
  <si>
    <t xml:space="preserve">評価額</t>
  </si>
  <si>
    <t xml:space="preserve">補足（任意）</t>
  </si>
  <si>
    <t xml:space="preserve">含み損益</t>
  </si>
  <si>
    <t xml:space="preserve">円換算した評価額</t>
  </si>
  <si>
    <t xml:space="preserve">国内</t>
  </si>
  <si>
    <t xml:space="preserve">株</t>
  </si>
  <si>
    <t xml:space="preserve">債券</t>
  </si>
  <si>
    <t xml:space="preserve">投資信託</t>
  </si>
  <si>
    <t xml:space="preserve">その他</t>
  </si>
  <si>
    <t xml:space="preserve">金地金</t>
  </si>
  <si>
    <t xml:space="preserve">海外</t>
  </si>
  <si>
    <t xml:space="preserve">暗号資産</t>
  </si>
  <si>
    <t xml:space="preserve">合計</t>
  </si>
  <si>
    <t xml:space="preserve">※ 通貨が違うので、この行の取得原価と評価額の合計は目安です）</t>
  </si>
  <si>
    <r>
      <rPr>
        <b val="true"/>
        <sz val="14"/>
        <rFont val="WenQuanYi Zen Hei"/>
        <family val="2"/>
      </rPr>
      <t xml:space="preserve">預貯金　（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行に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つの口座）</t>
    </r>
  </si>
  <si>
    <r>
      <rPr>
        <sz val="9"/>
        <color rgb="FF595959"/>
        <rFont val="WenQuanYi Zen Hei"/>
        <family val="2"/>
      </rPr>
      <t xml:space="preserve">同じ銀行に複数口座があるときは、まとめて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行にしても、分けて書いても構いません。</t>
    </r>
  </si>
  <si>
    <t xml:space="preserve">金融機関</t>
  </si>
  <si>
    <t xml:space="preserve">残高</t>
  </si>
  <si>
    <t xml:space="preserve">円換算した残高</t>
  </si>
  <si>
    <r>
      <rPr>
        <i val="true"/>
        <sz val="10"/>
        <color rgb="FF808080"/>
        <rFont val="WenQuanYi Zen Hei"/>
        <family val="2"/>
      </rPr>
      <t xml:space="preserve">（例）</t>
    </r>
    <r>
      <rPr>
        <i val="true"/>
        <sz val="10"/>
        <color rgb="FF808080"/>
        <rFont val="Arial"/>
        <family val="0"/>
        <charset val="1"/>
      </rPr>
      <t xml:space="preserve">A</t>
    </r>
    <r>
      <rPr>
        <i val="true"/>
        <sz val="10"/>
        <color rgb="FF808080"/>
        <rFont val="WenQuanYi Zen Hei"/>
        <family val="2"/>
      </rPr>
      <t xml:space="preserve">銀行</t>
    </r>
  </si>
  <si>
    <t xml:space="preserve">合計（見本行は数えません）</t>
  </si>
  <si>
    <r>
      <rPr>
        <b val="true"/>
        <sz val="14"/>
        <rFont val="WenQuanYi Zen Hei"/>
        <family val="2"/>
      </rPr>
      <t xml:space="preserve">不動産以外の借入　（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行に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つのローン）</t>
    </r>
  </si>
  <si>
    <t xml:space="preserve">車のローン、教育ローン、多目的ローンなど。不動産のローンは「不動産」タブに書くので、ここには書きません。</t>
  </si>
  <si>
    <t xml:space="preserve">借入がなければ、すべて空のままで構いません。</t>
  </si>
  <si>
    <t xml:space="preserve">借入の名前</t>
  </si>
  <si>
    <t xml:space="preserve">返済済み</t>
  </si>
  <si>
    <t xml:space="preserve">（例）自動車ローン</t>
  </si>
  <si>
    <t xml:space="preserve">車</t>
  </si>
  <si>
    <r>
      <rPr>
        <i val="true"/>
        <sz val="10"/>
        <color rgb="FF808080"/>
        <rFont val="Arial"/>
        <family val="0"/>
        <charset val="1"/>
      </rPr>
      <t xml:space="preserve">D</t>
    </r>
    <r>
      <rPr>
        <i val="true"/>
        <sz val="10"/>
        <color rgb="FF808080"/>
        <rFont val="WenQuanYi Zen Hei"/>
        <family val="2"/>
      </rPr>
      <t xml:space="preserve">銀行</t>
    </r>
  </si>
  <si>
    <t xml:space="preserve">検算　（自動計算。送る前にここを見てください）</t>
  </si>
  <si>
    <t xml:space="preserve">この表はすべて自動です。画面に出る数字と同じものを先に確かめられます。</t>
  </si>
  <si>
    <t xml:space="preserve">金融資産</t>
  </si>
  <si>
    <t xml:space="preserve">有価証券（評価額・円）</t>
  </si>
  <si>
    <t xml:space="preserve">円換算した評価額の合計</t>
  </si>
  <si>
    <t xml:space="preserve">　うち含み損益</t>
  </si>
  <si>
    <t xml:space="preserve">評価額 − 取得原価</t>
  </si>
  <si>
    <t xml:space="preserve">預貯金</t>
  </si>
  <si>
    <t xml:space="preserve">円換算した残高の合計</t>
  </si>
  <si>
    <t xml:space="preserve">金融資産合計</t>
  </si>
  <si>
    <t xml:space="preserve">有価証券 ＋ 預貯金（不動産は含めません）</t>
  </si>
  <si>
    <t xml:space="preserve">不動産</t>
  </si>
  <si>
    <t xml:space="preserve">自己資金 ＋ 当初借入額</t>
  </si>
  <si>
    <t xml:space="preserve">自己資金累計</t>
  </si>
  <si>
    <t xml:space="preserve">借入総額</t>
  </si>
  <si>
    <t xml:space="preserve">当初の借入額の合計</t>
  </si>
  <si>
    <t xml:space="preserve">残債合計</t>
  </si>
  <si>
    <t xml:space="preserve">借入総額 − 残債合計</t>
  </si>
  <si>
    <t xml:space="preserve">返済進捗率</t>
  </si>
  <si>
    <r>
      <rPr>
        <sz val="9"/>
        <color rgb="FF595959"/>
        <rFont val="WenQuanYi Zen Hei"/>
        <family val="2"/>
      </rPr>
      <t xml:space="preserve">累計返済額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借入総額</t>
    </r>
  </si>
  <si>
    <t xml:space="preserve">月次収支の合計</t>
  </si>
  <si>
    <t xml:space="preserve">家賃 − 返済 − 経費。マイナスなら持ち出しです</t>
  </si>
  <si>
    <t xml:space="preserve">負債</t>
  </si>
  <si>
    <t xml:space="preserve">不動産ローン 残債</t>
  </si>
  <si>
    <t xml:space="preserve">その他の借入 残債</t>
  </si>
  <si>
    <t xml:space="preserve">車・多目的など</t>
  </si>
  <si>
    <t xml:space="preserve">総負債</t>
  </si>
  <si>
    <t xml:space="preserve">不動産 ＋ その他</t>
  </si>
  <si>
    <t xml:space="preserve">つじつまの確認</t>
  </si>
  <si>
    <t xml:space="preserve">「要確認」が出たら、その行の説明どおりに直してください。</t>
  </si>
  <si>
    <t xml:space="preserve">残債が当初借入額より大きい物件</t>
  </si>
  <si>
    <t xml:space="preserve">残債は当初借入額以下になるはずです</t>
  </si>
  <si>
    <t xml:space="preserve">残債が当初借入額より大きい借入</t>
  </si>
  <si>
    <t xml:space="preserve">同上</t>
  </si>
  <si>
    <t xml:space="preserve">マイナスの金額が入っている</t>
  </si>
  <si>
    <r>
      <rPr>
        <sz val="9"/>
        <color rgb="FF595959"/>
        <rFont val="WenQuanYi Zen Hei"/>
        <family val="2"/>
      </rPr>
      <t xml:space="preserve">金額はすべて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以上で入れます</t>
    </r>
  </si>
  <si>
    <t xml:space="preserve">為替レートの無い通貨がある</t>
  </si>
  <si>
    <t xml:space="preserve">「基本情報」タブの為替レートに、使った通貨を足してください</t>
  </si>
  <si>
    <t xml:space="preserve">氏名と基準日が入っている</t>
  </si>
  <si>
    <t xml:space="preserve">どちらも必須です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</si>
</sst>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#,##0;\(#,##0\);\-"/>
    <numFmt numFmtId="168" formatCode="0.00\%"/>
    <numFmt numFmtId="169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i val="true"/>
      <sz val="10"/>
      <color rgb="FF808080"/>
      <name val="WenQuanYi Zen Hei"/>
      <family val="2"/>
    </font>
    <font>
      <b val="true"/>
      <sz val="10"/>
      <color rgb="FFFFFFFF"/>
      <name val="WenQuanYi Zen Hei"/>
      <family val="2"/>
    </font>
    <font>
      <sz val="10"/>
      <color rgb="FF0000FF"/>
      <name val="WenQuanYi Zen Hei"/>
      <family val="2"/>
    </font>
    <font>
      <sz val="9"/>
      <color rgb="FF595959"/>
      <name val="WenQuanYi Zen Hei"/>
      <family val="2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2"/>
    </font>
    <font>
      <sz val="10"/>
      <color rgb="FF00000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2F5597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96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4"/>
      <c r="C10" s="5" t="s">
        <v>6</v>
      </c>
    </row>
    <row r="11" customFormat="false" ht="15" hidden="false" customHeight="false" outlineLevel="0" collapsed="false">
      <c r="B11" s="6"/>
      <c r="C11" s="5" t="s">
        <v>7</v>
      </c>
    </row>
    <row r="12" customFormat="false" ht="15" hidden="false" customHeight="false" outlineLevel="0" collapsed="false">
      <c r="B12" s="7" t="s">
        <v>8</v>
      </c>
      <c r="C12" s="5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5" t="s">
        <v>13</v>
      </c>
    </row>
    <row r="18" customFormat="false" ht="15" hidden="false" customHeight="false" outlineLevel="0" collapsed="false">
      <c r="B18" s="5" t="s">
        <v>14</v>
      </c>
    </row>
    <row r="19" customFormat="false" ht="15" hidden="false" customHeight="false" outlineLevel="0" collapsed="false">
      <c r="B19" s="5" t="s">
        <v>15</v>
      </c>
    </row>
    <row r="21" customFormat="false" ht="1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5" t="s">
        <v>17</v>
      </c>
    </row>
    <row r="23" customFormat="false" ht="15" hidden="false" customHeight="false" outlineLevel="0" collapsed="false">
      <c r="B23" s="3" t="s">
        <v>18</v>
      </c>
    </row>
    <row r="25" customFormat="false" ht="15" hidden="false" customHeight="false" outlineLevel="0" collapsed="false">
      <c r="B25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8" t="s">
        <v>20</v>
      </c>
    </row>
    <row r="3" customFormat="false" ht="15" hidden="false" customHeight="false" outlineLevel="0" collapsed="false">
      <c r="A3" s="9" t="s">
        <v>21</v>
      </c>
      <c r="B3" s="9" t="s">
        <v>22</v>
      </c>
      <c r="C3" s="9" t="s">
        <v>23</v>
      </c>
    </row>
    <row r="4" customFormat="false" ht="15" hidden="false" customHeight="false" outlineLevel="0" collapsed="false">
      <c r="A4" s="10" t="s">
        <v>24</v>
      </c>
      <c r="B4" s="11" t="s">
        <v>25</v>
      </c>
      <c r="C4" s="12" t="s">
        <v>26</v>
      </c>
    </row>
    <row r="5" customFormat="false" ht="15" hidden="false" customHeight="false" outlineLevel="0" collapsed="false">
      <c r="A5" s="10" t="s">
        <v>27</v>
      </c>
      <c r="B5" s="13" t="s">
        <v>28</v>
      </c>
      <c r="C5" s="12" t="s">
        <v>29</v>
      </c>
    </row>
    <row r="7" customFormat="false" ht="15" hidden="false" customHeight="false" outlineLevel="0" collapsed="false">
      <c r="A7" s="14" t="s">
        <v>30</v>
      </c>
    </row>
    <row r="8" customFormat="false" ht="15" hidden="false" customHeight="false" outlineLevel="0" collapsed="false">
      <c r="A8" s="15" t="s">
        <v>31</v>
      </c>
    </row>
    <row r="9" customFormat="false" ht="15" hidden="false" customHeight="false" outlineLevel="0" collapsed="false">
      <c r="A9" s="9" t="s">
        <v>32</v>
      </c>
      <c r="B9" s="16" t="s">
        <v>33</v>
      </c>
      <c r="C9" s="9" t="s">
        <v>23</v>
      </c>
    </row>
    <row r="10" customFormat="false" ht="15" hidden="false" customHeight="false" outlineLevel="0" collapsed="false">
      <c r="A10" s="17" t="s">
        <v>34</v>
      </c>
      <c r="B10" s="18" t="n">
        <v>1</v>
      </c>
      <c r="C10" s="12" t="s">
        <v>35</v>
      </c>
    </row>
    <row r="11" customFormat="false" ht="15" hidden="false" customHeight="false" outlineLevel="0" collapsed="false">
      <c r="A11" s="19" t="s">
        <v>36</v>
      </c>
      <c r="B11" s="20" t="n">
        <v>155.2</v>
      </c>
      <c r="C11" s="12" t="s">
        <v>37</v>
      </c>
    </row>
    <row r="12" customFormat="false" ht="13.4" hidden="false" customHeight="false" outlineLevel="0" collapsed="false">
      <c r="A12" s="19"/>
      <c r="B12" s="20"/>
      <c r="C12" s="12" t="s">
        <v>38</v>
      </c>
    </row>
    <row r="13" customFormat="false" ht="15" hidden="false" customHeight="false" outlineLevel="0" collapsed="false">
      <c r="A13" s="19"/>
      <c r="B13" s="20"/>
      <c r="C1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8" min="6" style="0" width="13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13"/>
  </cols>
  <sheetData>
    <row r="1" customFormat="false" ht="19.4" hidden="false" customHeight="false" outlineLevel="0" collapsed="false">
      <c r="A1" s="8" t="s">
        <v>39</v>
      </c>
    </row>
    <row r="2" customFormat="false" ht="15" hidden="false" customHeight="false" outlineLevel="0" collapsed="false">
      <c r="A2" s="15" t="s">
        <v>40</v>
      </c>
    </row>
    <row r="4" customFormat="false" ht="33.75" hidden="false" customHeight="true" outlineLevel="0" collapsed="false">
      <c r="A4" s="21" t="s">
        <v>41</v>
      </c>
      <c r="B4" s="21" t="s">
        <v>42</v>
      </c>
      <c r="C4" s="21" t="s">
        <v>43</v>
      </c>
      <c r="D4" s="21" t="s">
        <v>44</v>
      </c>
      <c r="E4" s="21" t="s">
        <v>45</v>
      </c>
      <c r="F4" s="21" t="s">
        <v>46</v>
      </c>
      <c r="G4" s="21" t="s">
        <v>47</v>
      </c>
      <c r="H4" s="21" t="s">
        <v>48</v>
      </c>
      <c r="I4" s="21" t="s">
        <v>49</v>
      </c>
      <c r="J4" s="21" t="s">
        <v>50</v>
      </c>
      <c r="K4" s="21" t="s">
        <v>51</v>
      </c>
      <c r="L4" s="21" t="s">
        <v>52</v>
      </c>
      <c r="M4" s="21" t="s">
        <v>53</v>
      </c>
      <c r="N4" s="21" t="s">
        <v>54</v>
      </c>
      <c r="O4" s="21" t="s">
        <v>55</v>
      </c>
      <c r="P4" s="21" t="s">
        <v>56</v>
      </c>
      <c r="Q4" s="21" t="s">
        <v>57</v>
      </c>
      <c r="R4" s="21" t="s">
        <v>58</v>
      </c>
      <c r="S4" s="21" t="s">
        <v>59</v>
      </c>
      <c r="T4" s="21" t="s">
        <v>60</v>
      </c>
    </row>
    <row r="5" customFormat="false" ht="15" hidden="false" customHeight="false" outlineLevel="0" collapsed="false">
      <c r="A5" s="7" t="s">
        <v>61</v>
      </c>
      <c r="B5" s="7" t="s">
        <v>62</v>
      </c>
      <c r="C5" s="22" t="n">
        <v>45.5</v>
      </c>
      <c r="D5" s="23" t="s">
        <v>63</v>
      </c>
      <c r="E5" s="7" t="n">
        <v>15</v>
      </c>
      <c r="F5" s="24" t="n">
        <v>10000000</v>
      </c>
      <c r="G5" s="24" t="n">
        <v>40000000</v>
      </c>
      <c r="H5" s="24" t="n">
        <v>35500000</v>
      </c>
      <c r="I5" s="23" t="s">
        <v>64</v>
      </c>
      <c r="J5" s="25" t="n">
        <v>1.8</v>
      </c>
      <c r="K5" s="7" t="n">
        <v>35</v>
      </c>
      <c r="L5" s="24" t="n">
        <v>128000</v>
      </c>
      <c r="M5" s="24" t="n">
        <v>180000</v>
      </c>
      <c r="N5" s="24" t="n">
        <v>12000</v>
      </c>
      <c r="O5" s="24" t="n">
        <v>8000</v>
      </c>
      <c r="P5" s="24" t="n">
        <v>108000</v>
      </c>
      <c r="Q5" s="24" t="n">
        <f aca="false">F5+G5</f>
        <v>50000000</v>
      </c>
      <c r="R5" s="24" t="n">
        <f aca="false">G5-H5</f>
        <v>4500000</v>
      </c>
      <c r="S5" s="24" t="n">
        <f aca="false">ROUND(P5/12,0)</f>
        <v>9000</v>
      </c>
      <c r="T5" s="24" t="n">
        <f aca="false">M5-L5-N5-O5-S5</f>
        <v>23000</v>
      </c>
    </row>
    <row r="6" customFormat="false" ht="15" hidden="false" customHeight="false" outlineLevel="0" collapsed="false">
      <c r="A6" s="19"/>
      <c r="B6" s="19"/>
      <c r="C6" s="20"/>
      <c r="D6" s="19"/>
      <c r="E6" s="19"/>
      <c r="F6" s="26"/>
      <c r="G6" s="26"/>
      <c r="H6" s="26"/>
      <c r="I6" s="19"/>
      <c r="J6" s="27"/>
      <c r="K6" s="19"/>
      <c r="L6" s="26"/>
      <c r="M6" s="26"/>
      <c r="N6" s="26"/>
      <c r="O6" s="26"/>
      <c r="P6" s="26"/>
      <c r="Q6" s="28" t="n">
        <f aca="false">F6+G6</f>
        <v>0</v>
      </c>
      <c r="R6" s="28" t="n">
        <f aca="false">G6-H6</f>
        <v>0</v>
      </c>
      <c r="S6" s="28" t="n">
        <f aca="false">ROUND(P6/12,0)</f>
        <v>0</v>
      </c>
      <c r="T6" s="28" t="n">
        <f aca="false">M6-L6-N6-O6-S6</f>
        <v>0</v>
      </c>
    </row>
    <row r="7" customFormat="false" ht="15" hidden="false" customHeight="false" outlineLevel="0" collapsed="false">
      <c r="A7" s="19"/>
      <c r="B7" s="19"/>
      <c r="C7" s="20"/>
      <c r="D7" s="19"/>
      <c r="E7" s="19"/>
      <c r="F7" s="26"/>
      <c r="G7" s="26"/>
      <c r="H7" s="26"/>
      <c r="I7" s="19"/>
      <c r="J7" s="27"/>
      <c r="K7" s="19"/>
      <c r="L7" s="26"/>
      <c r="M7" s="26"/>
      <c r="N7" s="26"/>
      <c r="O7" s="26"/>
      <c r="P7" s="26"/>
      <c r="Q7" s="28" t="n">
        <f aca="false">F7+G7</f>
        <v>0</v>
      </c>
      <c r="R7" s="28" t="n">
        <f aca="false">G7-H7</f>
        <v>0</v>
      </c>
      <c r="S7" s="28" t="n">
        <f aca="false">ROUND(P7/12,0)</f>
        <v>0</v>
      </c>
      <c r="T7" s="28" t="n">
        <f aca="false">M7-L7-N7-O7-S7</f>
        <v>0</v>
      </c>
    </row>
    <row r="8" customFormat="false" ht="15" hidden="false" customHeight="false" outlineLevel="0" collapsed="false">
      <c r="A8" s="19"/>
      <c r="B8" s="19"/>
      <c r="C8" s="20"/>
      <c r="D8" s="19"/>
      <c r="E8" s="19"/>
      <c r="F8" s="26"/>
      <c r="G8" s="26"/>
      <c r="H8" s="26"/>
      <c r="I8" s="19"/>
      <c r="J8" s="27"/>
      <c r="K8" s="19"/>
      <c r="L8" s="26"/>
      <c r="M8" s="26"/>
      <c r="N8" s="26"/>
      <c r="O8" s="26"/>
      <c r="P8" s="26"/>
      <c r="Q8" s="28" t="n">
        <f aca="false">F8+G8</f>
        <v>0</v>
      </c>
      <c r="R8" s="28" t="n">
        <f aca="false">G8-H8</f>
        <v>0</v>
      </c>
      <c r="S8" s="28" t="n">
        <f aca="false">ROUND(P8/12,0)</f>
        <v>0</v>
      </c>
      <c r="T8" s="28" t="n">
        <f aca="false">M8-L8-N8-O8-S8</f>
        <v>0</v>
      </c>
    </row>
    <row r="9" customFormat="false" ht="15" hidden="false" customHeight="false" outlineLevel="0" collapsed="false">
      <c r="A9" s="19"/>
      <c r="B9" s="19"/>
      <c r="C9" s="20"/>
      <c r="D9" s="19"/>
      <c r="E9" s="19"/>
      <c r="F9" s="26"/>
      <c r="G9" s="26"/>
      <c r="H9" s="26"/>
      <c r="I9" s="19"/>
      <c r="J9" s="27"/>
      <c r="K9" s="19"/>
      <c r="L9" s="26"/>
      <c r="M9" s="26"/>
      <c r="N9" s="26"/>
      <c r="O9" s="26"/>
      <c r="P9" s="26"/>
      <c r="Q9" s="28" t="n">
        <f aca="false">F9+G9</f>
        <v>0</v>
      </c>
      <c r="R9" s="28" t="n">
        <f aca="false">G9-H9</f>
        <v>0</v>
      </c>
      <c r="S9" s="28" t="n">
        <f aca="false">ROUND(P9/12,0)</f>
        <v>0</v>
      </c>
      <c r="T9" s="28" t="n">
        <f aca="false">M9-L9-N9-O9-S9</f>
        <v>0</v>
      </c>
    </row>
    <row r="10" customFormat="false" ht="15" hidden="false" customHeight="false" outlineLevel="0" collapsed="false">
      <c r="A10" s="19"/>
      <c r="B10" s="19"/>
      <c r="C10" s="20"/>
      <c r="D10" s="19"/>
      <c r="E10" s="19"/>
      <c r="F10" s="26"/>
      <c r="G10" s="26"/>
      <c r="H10" s="26"/>
      <c r="I10" s="19"/>
      <c r="J10" s="27"/>
      <c r="K10" s="19"/>
      <c r="L10" s="26"/>
      <c r="M10" s="26"/>
      <c r="N10" s="26"/>
      <c r="O10" s="26"/>
      <c r="P10" s="26"/>
      <c r="Q10" s="28" t="n">
        <f aca="false">F10+G10</f>
        <v>0</v>
      </c>
      <c r="R10" s="28" t="n">
        <f aca="false">G10-H10</f>
        <v>0</v>
      </c>
      <c r="S10" s="28" t="n">
        <f aca="false">ROUND(P10/12,0)</f>
        <v>0</v>
      </c>
      <c r="T10" s="28" t="n">
        <f aca="false">M10-L10-N10-O10-S10</f>
        <v>0</v>
      </c>
    </row>
    <row r="11" customFormat="false" ht="15" hidden="false" customHeight="false" outlineLevel="0" collapsed="false">
      <c r="A11" s="19"/>
      <c r="B11" s="19"/>
      <c r="C11" s="20"/>
      <c r="D11" s="19"/>
      <c r="E11" s="19"/>
      <c r="F11" s="26"/>
      <c r="G11" s="26"/>
      <c r="H11" s="26"/>
      <c r="I11" s="19"/>
      <c r="J11" s="27"/>
      <c r="K11" s="19"/>
      <c r="L11" s="26"/>
      <c r="M11" s="26"/>
      <c r="N11" s="26"/>
      <c r="O11" s="26"/>
      <c r="P11" s="26"/>
      <c r="Q11" s="28" t="n">
        <f aca="false">F11+G11</f>
        <v>0</v>
      </c>
      <c r="R11" s="28" t="n">
        <f aca="false">G11-H11</f>
        <v>0</v>
      </c>
      <c r="S11" s="28" t="n">
        <f aca="false">ROUND(P11/12,0)</f>
        <v>0</v>
      </c>
      <c r="T11" s="28" t="n">
        <f aca="false">M11-L11-N11-O11-S11</f>
        <v>0</v>
      </c>
    </row>
    <row r="12" customFormat="false" ht="15" hidden="false" customHeight="false" outlineLevel="0" collapsed="false">
      <c r="A12" s="19"/>
      <c r="B12" s="19"/>
      <c r="C12" s="20"/>
      <c r="D12" s="19"/>
      <c r="E12" s="19"/>
      <c r="F12" s="26"/>
      <c r="G12" s="26"/>
      <c r="H12" s="26"/>
      <c r="I12" s="19"/>
      <c r="J12" s="27"/>
      <c r="K12" s="19"/>
      <c r="L12" s="26"/>
      <c r="M12" s="26"/>
      <c r="N12" s="26"/>
      <c r="O12" s="26"/>
      <c r="P12" s="26"/>
      <c r="Q12" s="28" t="n">
        <f aca="false">F12+G12</f>
        <v>0</v>
      </c>
      <c r="R12" s="28" t="n">
        <f aca="false">G12-H12</f>
        <v>0</v>
      </c>
      <c r="S12" s="28" t="n">
        <f aca="false">ROUND(P12/12,0)</f>
        <v>0</v>
      </c>
      <c r="T12" s="28" t="n">
        <f aca="false">M12-L12-N12-O12-S12</f>
        <v>0</v>
      </c>
    </row>
    <row r="13" customFormat="false" ht="15" hidden="false" customHeight="false" outlineLevel="0" collapsed="false">
      <c r="A13" s="19"/>
      <c r="B13" s="19"/>
      <c r="C13" s="20"/>
      <c r="D13" s="19"/>
      <c r="E13" s="19"/>
      <c r="F13" s="26"/>
      <c r="G13" s="26"/>
      <c r="H13" s="26"/>
      <c r="I13" s="19"/>
      <c r="J13" s="27"/>
      <c r="K13" s="19"/>
      <c r="L13" s="26"/>
      <c r="M13" s="26"/>
      <c r="N13" s="26"/>
      <c r="O13" s="26"/>
      <c r="P13" s="26"/>
      <c r="Q13" s="28" t="n">
        <f aca="false">F13+G13</f>
        <v>0</v>
      </c>
      <c r="R13" s="28" t="n">
        <f aca="false">G13-H13</f>
        <v>0</v>
      </c>
      <c r="S13" s="28" t="n">
        <f aca="false">ROUND(P13/12,0)</f>
        <v>0</v>
      </c>
      <c r="T13" s="28" t="n">
        <f aca="false">M13-L13-N13-O13-S13</f>
        <v>0</v>
      </c>
    </row>
    <row r="14" customFormat="false" ht="15" hidden="false" customHeight="false" outlineLevel="0" collapsed="false">
      <c r="A14" s="19"/>
      <c r="B14" s="19"/>
      <c r="C14" s="20"/>
      <c r="D14" s="19"/>
      <c r="E14" s="19"/>
      <c r="F14" s="26"/>
      <c r="G14" s="26"/>
      <c r="H14" s="26"/>
      <c r="I14" s="19"/>
      <c r="J14" s="27"/>
      <c r="K14" s="19"/>
      <c r="L14" s="26"/>
      <c r="M14" s="26"/>
      <c r="N14" s="26"/>
      <c r="O14" s="26"/>
      <c r="P14" s="26"/>
      <c r="Q14" s="28" t="n">
        <f aca="false">F14+G14</f>
        <v>0</v>
      </c>
      <c r="R14" s="28" t="n">
        <f aca="false">G14-H14</f>
        <v>0</v>
      </c>
      <c r="S14" s="28" t="n">
        <f aca="false">ROUND(P14/12,0)</f>
        <v>0</v>
      </c>
      <c r="T14" s="28" t="n">
        <f aca="false">M14-L14-N14-O14-S14</f>
        <v>0</v>
      </c>
    </row>
    <row r="16" customFormat="false" ht="15" hidden="false" customHeight="false" outlineLevel="0" collapsed="false">
      <c r="A16" s="1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5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9.4" hidden="false" customHeight="false" outlineLevel="0" collapsed="false">
      <c r="A1" s="8" t="s">
        <v>66</v>
      </c>
    </row>
    <row r="2" customFormat="false" ht="15" hidden="false" customHeight="false" outlineLevel="0" collapsed="false">
      <c r="A2" s="15" t="s">
        <v>67</v>
      </c>
    </row>
    <row r="3" customFormat="false" ht="15" hidden="false" customHeight="false" outlineLevel="0" collapsed="false">
      <c r="A3" s="15" t="s">
        <v>68</v>
      </c>
    </row>
    <row r="5" customFormat="false" ht="33.75" hidden="false" customHeight="true" outlineLevel="0" collapsed="false">
      <c r="A5" s="21" t="s">
        <v>69</v>
      </c>
      <c r="B5" s="21" t="s">
        <v>70</v>
      </c>
      <c r="C5" s="21" t="s">
        <v>32</v>
      </c>
      <c r="D5" s="21" t="s">
        <v>71</v>
      </c>
      <c r="E5" s="21" t="s">
        <v>72</v>
      </c>
      <c r="F5" s="21" t="s">
        <v>73</v>
      </c>
      <c r="G5" s="21" t="s">
        <v>74</v>
      </c>
      <c r="H5" s="21" t="s">
        <v>75</v>
      </c>
    </row>
    <row r="6" customFormat="false" ht="15" hidden="false" customHeight="false" outlineLevel="0" collapsed="false">
      <c r="A6" s="29" t="s">
        <v>76</v>
      </c>
      <c r="B6" s="29" t="s">
        <v>77</v>
      </c>
      <c r="C6" s="19" t="s">
        <v>34</v>
      </c>
      <c r="D6" s="26" t="n">
        <v>2000000</v>
      </c>
      <c r="E6" s="26" t="n">
        <v>5000000</v>
      </c>
      <c r="F6" s="19"/>
      <c r="G6" s="28" t="n">
        <f aca="false">E6-D6</f>
        <v>3000000</v>
      </c>
      <c r="H6" s="28" t="n">
        <f aca="false">ROUND(E6*IFERROR(INDEX(基本情報!$B$10:$B$13,MATCH(C6,基本情報!$A$10:$A$13,0)),0),0)</f>
        <v>5000000</v>
      </c>
    </row>
    <row r="7" customFormat="false" ht="15" hidden="false" customHeight="false" outlineLevel="0" collapsed="false">
      <c r="A7" s="29" t="s">
        <v>76</v>
      </c>
      <c r="B7" s="29" t="s">
        <v>78</v>
      </c>
      <c r="C7" s="19" t="s">
        <v>34</v>
      </c>
      <c r="D7" s="26" t="n">
        <v>2700000</v>
      </c>
      <c r="E7" s="26" t="n">
        <v>2500000</v>
      </c>
      <c r="F7" s="19"/>
      <c r="G7" s="28" t="n">
        <f aca="false">E7-D7</f>
        <v>-200000</v>
      </c>
      <c r="H7" s="28" t="n">
        <f aca="false">ROUND(E7*IFERROR(INDEX(基本情報!$B$10:$B$13,MATCH(C7,基本情報!$A$10:$A$13,0)),0),0)</f>
        <v>2500000</v>
      </c>
    </row>
    <row r="8" customFormat="false" ht="15" hidden="false" customHeight="false" outlineLevel="0" collapsed="false">
      <c r="A8" s="29" t="s">
        <v>76</v>
      </c>
      <c r="B8" s="29" t="s">
        <v>79</v>
      </c>
      <c r="C8" s="19" t="s">
        <v>34</v>
      </c>
      <c r="D8" s="26" t="n">
        <v>1300000</v>
      </c>
      <c r="E8" s="26" t="n">
        <v>1500000</v>
      </c>
      <c r="F8" s="19"/>
      <c r="G8" s="28" t="n">
        <f aca="false">E8-D8</f>
        <v>200000</v>
      </c>
      <c r="H8" s="28" t="n">
        <f aca="false">ROUND(E8*IFERROR(INDEX(基本情報!$B$10:$B$13,MATCH(C8,基本情報!$A$10:$A$13,0)),0),0)</f>
        <v>1500000</v>
      </c>
    </row>
    <row r="9" customFormat="false" ht="15" hidden="false" customHeight="false" outlineLevel="0" collapsed="false">
      <c r="A9" s="29" t="s">
        <v>76</v>
      </c>
      <c r="B9" s="29" t="s">
        <v>80</v>
      </c>
      <c r="C9" s="19" t="s">
        <v>34</v>
      </c>
      <c r="D9" s="26" t="n">
        <v>800000</v>
      </c>
      <c r="E9" s="26" t="n">
        <v>1200000</v>
      </c>
      <c r="F9" s="30" t="s">
        <v>81</v>
      </c>
      <c r="G9" s="28" t="n">
        <f aca="false">E9-D9</f>
        <v>400000</v>
      </c>
      <c r="H9" s="28" t="n">
        <f aca="false">ROUND(E9*IFERROR(INDEX(基本情報!$B$10:$B$13,MATCH(C9,基本情報!$A$10:$A$13,0)),0),0)</f>
        <v>1200000</v>
      </c>
    </row>
    <row r="10" customFormat="false" ht="15" hidden="false" customHeight="false" outlineLevel="0" collapsed="false">
      <c r="A10" s="29" t="s">
        <v>82</v>
      </c>
      <c r="B10" s="29" t="s">
        <v>77</v>
      </c>
      <c r="C10" s="19" t="s">
        <v>36</v>
      </c>
      <c r="D10" s="26" t="n">
        <v>20000</v>
      </c>
      <c r="E10" s="26" t="n">
        <v>32000</v>
      </c>
      <c r="F10" s="30"/>
      <c r="G10" s="28" t="n">
        <f aca="false">E10-D10</f>
        <v>12000</v>
      </c>
      <c r="H10" s="28" t="n">
        <f aca="false">ROUND(E10*IFERROR(INDEX(基本情報!$B$10:$B$13,MATCH(C10,基本情報!$A$10:$A$13,0)),0),0)</f>
        <v>4966400</v>
      </c>
    </row>
    <row r="11" customFormat="false" ht="15" hidden="false" customHeight="false" outlineLevel="0" collapsed="false">
      <c r="A11" s="29" t="s">
        <v>82</v>
      </c>
      <c r="B11" s="29" t="s">
        <v>78</v>
      </c>
      <c r="C11" s="19" t="s">
        <v>36</v>
      </c>
      <c r="D11" s="26" t="n">
        <v>18000</v>
      </c>
      <c r="E11" s="26" t="n">
        <v>16000</v>
      </c>
      <c r="F11" s="30"/>
      <c r="G11" s="28" t="n">
        <f aca="false">E11-D11</f>
        <v>-2000</v>
      </c>
      <c r="H11" s="28" t="n">
        <f aca="false">ROUND(E11*IFERROR(INDEX(基本情報!$B$10:$B$13,MATCH(C11,基本情報!$A$10:$A$13,0)),0),0)</f>
        <v>2483200</v>
      </c>
    </row>
    <row r="12" customFormat="false" ht="15" hidden="false" customHeight="false" outlineLevel="0" collapsed="false">
      <c r="A12" s="29" t="s">
        <v>82</v>
      </c>
      <c r="B12" s="29" t="s">
        <v>79</v>
      </c>
      <c r="C12" s="19" t="s">
        <v>36</v>
      </c>
      <c r="D12" s="26" t="n">
        <v>8000</v>
      </c>
      <c r="E12" s="26" t="n">
        <v>9500</v>
      </c>
      <c r="F12" s="30"/>
      <c r="G12" s="28" t="n">
        <f aca="false">E12-D12</f>
        <v>1500</v>
      </c>
      <c r="H12" s="28" t="n">
        <f aca="false">ROUND(E12*IFERROR(INDEX(基本情報!$B$10:$B$13,MATCH(C12,基本情報!$A$10:$A$13,0)),0),0)</f>
        <v>1474400</v>
      </c>
    </row>
    <row r="13" customFormat="false" ht="15" hidden="false" customHeight="false" outlineLevel="0" collapsed="false">
      <c r="A13" s="29" t="s">
        <v>82</v>
      </c>
      <c r="B13" s="29" t="s">
        <v>80</v>
      </c>
      <c r="C13" s="19" t="s">
        <v>36</v>
      </c>
      <c r="D13" s="26" t="n">
        <v>5000</v>
      </c>
      <c r="E13" s="26" t="n">
        <v>11000</v>
      </c>
      <c r="F13" s="30" t="s">
        <v>83</v>
      </c>
      <c r="G13" s="28" t="n">
        <f aca="false">E13-D13</f>
        <v>6000</v>
      </c>
      <c r="H13" s="28" t="n">
        <f aca="false">ROUND(E13*IFERROR(INDEX(基本情報!$B$10:$B$13,MATCH(C13,基本情報!$A$10:$A$13,0)),0),0)</f>
        <v>1707200</v>
      </c>
    </row>
    <row r="14" customFormat="false" ht="15" hidden="false" customHeight="false" outlineLevel="0" collapsed="false">
      <c r="A14" s="14" t="s">
        <v>84</v>
      </c>
      <c r="D14" s="31" t="n">
        <f aca="false">SUM(D6:D13)</f>
        <v>6851000</v>
      </c>
      <c r="E14" s="31" t="n">
        <f aca="false">SUM(E6:E13)</f>
        <v>10268500</v>
      </c>
      <c r="F14" s="15" t="s">
        <v>85</v>
      </c>
      <c r="G14" s="31" t="n">
        <f aca="false">SUM(G6:G13)</f>
        <v>3417500</v>
      </c>
      <c r="H14" s="31" t="n">
        <f aca="false">SUM(H6:H13)</f>
        <v>20831200</v>
      </c>
    </row>
  </sheetData>
  <dataValidations count="1">
    <dataValidation allowBlank="false" errorStyle="stop" operator="between" showDropDown="false" showErrorMessage="false" showInputMessage="false" sqref="C6:C13" type="list">
      <formula1>"JPY,USD,EUR"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7"/>
  </cols>
  <sheetData>
    <row r="1" customFormat="false" ht="19.4" hidden="false" customHeight="false" outlineLevel="0" collapsed="false">
      <c r="A1" s="8" t="s">
        <v>86</v>
      </c>
    </row>
    <row r="2" customFormat="false" ht="15" hidden="false" customHeight="false" outlineLevel="0" collapsed="false">
      <c r="A2" s="15" t="s">
        <v>87</v>
      </c>
    </row>
    <row r="4" customFormat="false" ht="33.75" hidden="false" customHeight="true" outlineLevel="0" collapsed="false">
      <c r="A4" s="21" t="s">
        <v>88</v>
      </c>
      <c r="B4" s="21" t="s">
        <v>32</v>
      </c>
      <c r="C4" s="21" t="s">
        <v>89</v>
      </c>
      <c r="D4" s="21" t="s">
        <v>90</v>
      </c>
    </row>
    <row r="5" customFormat="false" ht="15" hidden="false" customHeight="false" outlineLevel="0" collapsed="false">
      <c r="A5" s="7" t="s">
        <v>91</v>
      </c>
      <c r="B5" s="23" t="s">
        <v>34</v>
      </c>
      <c r="C5" s="24" t="n">
        <v>2000000</v>
      </c>
      <c r="D5" s="24" t="n">
        <f aca="false">IF(A5="","",ROUND(C5*IFERROR(INDEX(基本情報!$B$10:$B$13,MATCH(B5,基本情報!$A$10:$A$13,0)),0),0))</f>
        <v>2000000</v>
      </c>
    </row>
    <row r="6" customFormat="false" ht="15" hidden="false" customHeight="false" outlineLevel="0" collapsed="false">
      <c r="A6" s="30"/>
      <c r="B6" s="19"/>
      <c r="C6" s="26"/>
      <c r="D6" s="28" t="str">
        <f aca="false">IF(A6="","",ROUND(C6*IFERROR(INDEX(基本情報!$B$10:$B$13,MATCH(B6,基本情報!$A$10:$A$13,0)),0),0))</f>
        <v/>
      </c>
    </row>
    <row r="7" customFormat="false" ht="15" hidden="false" customHeight="false" outlineLevel="0" collapsed="false">
      <c r="A7" s="30"/>
      <c r="B7" s="19"/>
      <c r="C7" s="26"/>
      <c r="D7" s="28" t="str">
        <f aca="false">IF(A7="","",ROUND(C7*IFERROR(INDEX(基本情報!$B$10:$B$13,MATCH(B7,基本情報!$A$10:$A$13,0)),0),0))</f>
        <v/>
      </c>
    </row>
    <row r="8" customFormat="false" ht="15" hidden="false" customHeight="false" outlineLevel="0" collapsed="false">
      <c r="A8" s="30"/>
      <c r="B8" s="19"/>
      <c r="C8" s="26"/>
      <c r="D8" s="28" t="str">
        <f aca="false">IF(A8="","",ROUND(C8*IFERROR(INDEX(基本情報!$B$10:$B$13,MATCH(B8,基本情報!$A$10:$A$13,0)),0),0))</f>
        <v/>
      </c>
    </row>
    <row r="9" customFormat="false" ht="15" hidden="false" customHeight="false" outlineLevel="0" collapsed="false">
      <c r="A9" s="30"/>
      <c r="B9" s="19"/>
      <c r="C9" s="26"/>
      <c r="D9" s="28" t="str">
        <f aca="false">IF(A9="","",ROUND(C9*IFERROR(INDEX(基本情報!$B$10:$B$13,MATCH(B9,基本情報!$A$10:$A$13,0)),0),0))</f>
        <v/>
      </c>
    </row>
    <row r="10" customFormat="false" ht="15" hidden="false" customHeight="false" outlineLevel="0" collapsed="false">
      <c r="A10" s="30"/>
      <c r="B10" s="19"/>
      <c r="C10" s="26"/>
      <c r="D10" s="28" t="str">
        <f aca="false">IF(A10="","",ROUND(C10*IFERROR(INDEX(基本情報!$B$10:$B$13,MATCH(B10,基本情報!$A$10:$A$13,0)),0),0))</f>
        <v/>
      </c>
    </row>
    <row r="11" customFormat="false" ht="15" hidden="false" customHeight="false" outlineLevel="0" collapsed="false">
      <c r="A11" s="30"/>
      <c r="B11" s="19"/>
      <c r="C11" s="26"/>
      <c r="D11" s="28" t="str">
        <f aca="false">IF(A11="","",ROUND(C11*IFERROR(INDEX(基本情報!$B$10:$B$13,MATCH(B11,基本情報!$A$10:$A$13,0)),0),0))</f>
        <v/>
      </c>
    </row>
    <row r="12" customFormat="false" ht="15" hidden="false" customHeight="false" outlineLevel="0" collapsed="false">
      <c r="A12" s="30"/>
      <c r="B12" s="19"/>
      <c r="C12" s="26"/>
      <c r="D12" s="28" t="str">
        <f aca="false">IF(A12="","",ROUND(C12*IFERROR(INDEX(基本情報!$B$10:$B$13,MATCH(B12,基本情報!$A$10:$A$13,0)),0),0))</f>
        <v/>
      </c>
    </row>
    <row r="13" customFormat="false" ht="15" hidden="false" customHeight="false" outlineLevel="0" collapsed="false">
      <c r="A13" s="30"/>
      <c r="B13" s="19"/>
      <c r="C13" s="26"/>
      <c r="D13" s="28" t="str">
        <f aca="false">IF(A13="","",ROUND(C13*IFERROR(INDEX(基本情報!$B$10:$B$13,MATCH(B13,基本情報!$A$10:$A$13,0)),0),0))</f>
        <v/>
      </c>
    </row>
    <row r="14" customFormat="false" ht="15" hidden="false" customHeight="false" outlineLevel="0" collapsed="false">
      <c r="A14" s="30"/>
      <c r="B14" s="19"/>
      <c r="C14" s="26"/>
      <c r="D14" s="28" t="str">
        <f aca="false">IF(A14="","",ROUND(C14*IFERROR(INDEX(基本情報!$B$10:$B$13,MATCH(B14,基本情報!$A$10:$A$13,0)),0),0))</f>
        <v/>
      </c>
    </row>
    <row r="15" customFormat="false" ht="15" hidden="false" customHeight="false" outlineLevel="0" collapsed="false">
      <c r="A15" s="30"/>
      <c r="B15" s="19"/>
      <c r="C15" s="26"/>
      <c r="D15" s="28" t="str">
        <f aca="false">IF(A15="","",ROUND(C15*IFERROR(INDEX(基本情報!$B$10:$B$13,MATCH(B15,基本情報!$A$10:$A$13,0)),0),0))</f>
        <v/>
      </c>
    </row>
    <row r="16" customFormat="false" ht="15" hidden="false" customHeight="false" outlineLevel="0" collapsed="false">
      <c r="A16" s="30"/>
      <c r="B16" s="19"/>
      <c r="C16" s="26"/>
      <c r="D16" s="28" t="str">
        <f aca="false">IF(A16="","",ROUND(C16*IFERROR(INDEX(基本情報!$B$10:$B$13,MATCH(B16,基本情報!$A$10:$A$13,0)),0),0))</f>
        <v/>
      </c>
    </row>
    <row r="17" customFormat="false" ht="15" hidden="false" customHeight="false" outlineLevel="0" collapsed="false">
      <c r="A17" s="30"/>
      <c r="B17" s="19"/>
      <c r="C17" s="26"/>
      <c r="D17" s="28" t="str">
        <f aca="false">IF(A17="","",ROUND(C17*IFERROR(INDEX(基本情報!$B$10:$B$13,MATCH(B17,基本情報!$A$10:$A$13,0)),0),0))</f>
        <v/>
      </c>
    </row>
    <row r="18" customFormat="false" ht="15" hidden="false" customHeight="false" outlineLevel="0" collapsed="false">
      <c r="A18" s="30"/>
      <c r="B18" s="19"/>
      <c r="C18" s="26"/>
      <c r="D18" s="28" t="str">
        <f aca="false">IF(A18="","",ROUND(C18*IFERROR(INDEX(基本情報!$B$10:$B$13,MATCH(B18,基本情報!$A$10:$A$13,0)),0),0))</f>
        <v/>
      </c>
    </row>
    <row r="19" customFormat="false" ht="15" hidden="false" customHeight="false" outlineLevel="0" collapsed="false">
      <c r="A19" s="30"/>
      <c r="B19" s="19"/>
      <c r="C19" s="26"/>
      <c r="D19" s="28" t="str">
        <f aca="false">IF(A19="","",ROUND(C19*IFERROR(INDEX(基本情報!$B$10:$B$13,MATCH(B19,基本情報!$A$10:$A$13,0)),0),0))</f>
        <v/>
      </c>
    </row>
    <row r="20" customFormat="false" ht="15" hidden="false" customHeight="false" outlineLevel="0" collapsed="false">
      <c r="A20" s="14" t="s">
        <v>92</v>
      </c>
      <c r="D20" s="31" t="n">
        <f aca="false">SUM(D6:D19)</f>
        <v>0</v>
      </c>
    </row>
  </sheetData>
  <dataValidations count="1">
    <dataValidation allowBlank="true" errorStyle="stop" operator="between" showDropDown="false" showErrorMessage="false" showInputMessage="false" sqref="B5:B19" type="list">
      <formula1>"JPY,USD,EUR"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9.4" hidden="false" customHeight="false" outlineLevel="0" collapsed="false">
      <c r="A1" s="8" t="s">
        <v>93</v>
      </c>
    </row>
    <row r="2" customFormat="false" ht="15" hidden="false" customHeight="false" outlineLevel="0" collapsed="false">
      <c r="A2" s="15" t="s">
        <v>94</v>
      </c>
    </row>
    <row r="3" customFormat="false" ht="15" hidden="false" customHeight="false" outlineLevel="0" collapsed="false">
      <c r="A3" s="15" t="s">
        <v>95</v>
      </c>
    </row>
    <row r="5" customFormat="false" ht="33.75" hidden="false" customHeight="true" outlineLevel="0" collapsed="false">
      <c r="A5" s="21" t="s">
        <v>96</v>
      </c>
      <c r="B5" s="21" t="s">
        <v>70</v>
      </c>
      <c r="C5" s="21" t="s">
        <v>49</v>
      </c>
      <c r="D5" s="21" t="s">
        <v>47</v>
      </c>
      <c r="E5" s="21" t="s">
        <v>48</v>
      </c>
      <c r="F5" s="21" t="s">
        <v>50</v>
      </c>
      <c r="G5" s="21" t="s">
        <v>52</v>
      </c>
      <c r="H5" s="21" t="s">
        <v>97</v>
      </c>
    </row>
    <row r="6" customFormat="false" ht="15" hidden="false" customHeight="false" outlineLevel="0" collapsed="false">
      <c r="A6" s="7" t="s">
        <v>98</v>
      </c>
      <c r="B6" s="7" t="s">
        <v>99</v>
      </c>
      <c r="C6" s="23" t="s">
        <v>100</v>
      </c>
      <c r="D6" s="24" t="n">
        <v>3000000</v>
      </c>
      <c r="E6" s="24" t="n">
        <v>1800000</v>
      </c>
      <c r="F6" s="25" t="n">
        <v>2.5</v>
      </c>
      <c r="G6" s="24" t="n">
        <v>45000</v>
      </c>
      <c r="H6" s="24" t="n">
        <f aca="false">IF(A6="","",D6-E6)</f>
        <v>1200000</v>
      </c>
    </row>
    <row r="7" customFormat="false" ht="15" hidden="false" customHeight="false" outlineLevel="0" collapsed="false">
      <c r="A7" s="30"/>
      <c r="B7" s="30"/>
      <c r="C7" s="30"/>
      <c r="D7" s="26"/>
      <c r="E7" s="26"/>
      <c r="F7" s="27"/>
      <c r="G7" s="26"/>
      <c r="H7" s="28" t="str">
        <f aca="false">IF(A7="","",D7-E7)</f>
        <v/>
      </c>
    </row>
    <row r="8" customFormat="false" ht="15" hidden="false" customHeight="false" outlineLevel="0" collapsed="false">
      <c r="A8" s="30"/>
      <c r="B8" s="30"/>
      <c r="C8" s="30"/>
      <c r="D8" s="26"/>
      <c r="E8" s="26"/>
      <c r="F8" s="27"/>
      <c r="G8" s="26"/>
      <c r="H8" s="28" t="str">
        <f aca="false">IF(A8="","",D8-E8)</f>
        <v/>
      </c>
    </row>
    <row r="9" customFormat="false" ht="15" hidden="false" customHeight="false" outlineLevel="0" collapsed="false">
      <c r="A9" s="30"/>
      <c r="B9" s="30"/>
      <c r="C9" s="30"/>
      <c r="D9" s="26"/>
      <c r="E9" s="26"/>
      <c r="F9" s="27"/>
      <c r="G9" s="26"/>
      <c r="H9" s="28" t="str">
        <f aca="false">IF(A9="","",D9-E9)</f>
        <v/>
      </c>
    </row>
    <row r="10" customFormat="false" ht="15" hidden="false" customHeight="false" outlineLevel="0" collapsed="false">
      <c r="A10" s="30"/>
      <c r="B10" s="30"/>
      <c r="C10" s="30"/>
      <c r="D10" s="26"/>
      <c r="E10" s="26"/>
      <c r="F10" s="27"/>
      <c r="G10" s="26"/>
      <c r="H10" s="28" t="str">
        <f aca="false">IF(A10="","",D10-E10)</f>
        <v/>
      </c>
    </row>
    <row r="11" customFormat="false" ht="15" hidden="false" customHeight="false" outlineLevel="0" collapsed="false">
      <c r="A11" s="30"/>
      <c r="B11" s="30"/>
      <c r="C11" s="30"/>
      <c r="D11" s="26"/>
      <c r="E11" s="26"/>
      <c r="F11" s="27"/>
      <c r="G11" s="26"/>
      <c r="H11" s="28" t="str">
        <f aca="false">IF(A11="","",D11-E11)</f>
        <v/>
      </c>
    </row>
    <row r="12" customFormat="false" ht="15" hidden="false" customHeight="false" outlineLevel="0" collapsed="false">
      <c r="A12" s="30"/>
      <c r="B12" s="30"/>
      <c r="C12" s="30"/>
      <c r="D12" s="26"/>
      <c r="E12" s="26"/>
      <c r="F12" s="27"/>
      <c r="G12" s="26"/>
      <c r="H12" s="28" t="str">
        <f aca="false">IF(A12="","",D12-E12)</f>
        <v/>
      </c>
    </row>
    <row r="13" customFormat="false" ht="15" hidden="false" customHeight="false" outlineLevel="0" collapsed="false">
      <c r="A13" s="30"/>
      <c r="B13" s="30"/>
      <c r="C13" s="30"/>
      <c r="D13" s="26"/>
      <c r="E13" s="26"/>
      <c r="F13" s="27"/>
      <c r="G13" s="26"/>
      <c r="H13" s="28" t="str">
        <f aca="false">IF(A13="","",D13-E13)</f>
        <v/>
      </c>
    </row>
    <row r="14" customFormat="false" ht="15" hidden="false" customHeight="false" outlineLevel="0" collapsed="false">
      <c r="A14" s="30"/>
      <c r="B14" s="30"/>
      <c r="C14" s="30"/>
      <c r="D14" s="26"/>
      <c r="E14" s="26"/>
      <c r="F14" s="27"/>
      <c r="G14" s="26"/>
      <c r="H14" s="28" t="str">
        <f aca="false">IF(A14="","",D14-E14)</f>
        <v/>
      </c>
    </row>
    <row r="15" customFormat="false" ht="15" hidden="false" customHeight="false" outlineLevel="0" collapsed="false">
      <c r="A15" s="30"/>
      <c r="B15" s="30"/>
      <c r="C15" s="30"/>
      <c r="D15" s="26"/>
      <c r="E15" s="26"/>
      <c r="F15" s="27"/>
      <c r="G15" s="26"/>
      <c r="H15" s="28" t="str">
        <f aca="false">IF(A15="","",D15-E15)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8" t="s">
        <v>101</v>
      </c>
    </row>
    <row r="2" customFormat="false" ht="15" hidden="false" customHeight="false" outlineLevel="0" collapsed="false">
      <c r="A2" s="15" t="s">
        <v>102</v>
      </c>
    </row>
    <row r="4" customFormat="false" ht="15" hidden="false" customHeight="false" outlineLevel="0" collapsed="false">
      <c r="A4" s="14" t="s">
        <v>103</v>
      </c>
    </row>
    <row r="5" customFormat="false" ht="15" hidden="false" customHeight="false" outlineLevel="0" collapsed="false">
      <c r="A5" s="10" t="s">
        <v>104</v>
      </c>
      <c r="B5" s="28" t="n">
        <f aca="false">有価証券!H14</f>
        <v>20831200</v>
      </c>
      <c r="C5" s="15" t="s">
        <v>105</v>
      </c>
    </row>
    <row r="6" customFormat="false" ht="15" hidden="false" customHeight="false" outlineLevel="0" collapsed="false">
      <c r="A6" s="10" t="s">
        <v>106</v>
      </c>
      <c r="B6" s="28" t="n">
        <f aca="false">有価証券!H14-SUMPRODUCT(有価証券!D6:D13,IFERROR(INDEX(基本情報!$B$10:$B$13,MATCH(有価証券!C6:C13,基本情報!$A$10:$A$13,0)),0))</f>
        <v>6116000</v>
      </c>
      <c r="C6" s="15" t="s">
        <v>107</v>
      </c>
    </row>
    <row r="7" customFormat="false" ht="15" hidden="false" customHeight="false" outlineLevel="0" collapsed="false">
      <c r="A7" s="10" t="s">
        <v>108</v>
      </c>
      <c r="B7" s="28" t="n">
        <f aca="false">預貯金!D20</f>
        <v>0</v>
      </c>
      <c r="C7" s="15" t="s">
        <v>109</v>
      </c>
    </row>
    <row r="8" customFormat="false" ht="15" hidden="false" customHeight="false" outlineLevel="0" collapsed="false">
      <c r="A8" s="32" t="s">
        <v>110</v>
      </c>
      <c r="B8" s="33" t="n">
        <f aca="false">有価証券!H14+預貯金!D20</f>
        <v>20831200</v>
      </c>
      <c r="C8" s="15" t="s">
        <v>111</v>
      </c>
    </row>
    <row r="10" customFormat="false" ht="15" hidden="false" customHeight="false" outlineLevel="0" collapsed="false">
      <c r="A10" s="14" t="s">
        <v>112</v>
      </c>
    </row>
    <row r="11" customFormat="false" ht="15" hidden="false" customHeight="false" outlineLevel="0" collapsed="false">
      <c r="A11" s="10" t="s">
        <v>57</v>
      </c>
      <c r="B11" s="28" t="n">
        <f aca="false">SUM(不動産!$Q$6:$Q$14)</f>
        <v>0</v>
      </c>
      <c r="C11" s="15" t="s">
        <v>113</v>
      </c>
    </row>
    <row r="12" customFormat="false" ht="15" hidden="false" customHeight="false" outlineLevel="0" collapsed="false">
      <c r="A12" s="10" t="s">
        <v>114</v>
      </c>
      <c r="B12" s="28" t="n">
        <f aca="false">SUM(不動産!$F$6:$F$14)</f>
        <v>0</v>
      </c>
      <c r="C12" s="15"/>
    </row>
    <row r="13" customFormat="false" ht="15" hidden="false" customHeight="false" outlineLevel="0" collapsed="false">
      <c r="A13" s="10" t="s">
        <v>115</v>
      </c>
      <c r="B13" s="28" t="n">
        <f aca="false">SUM(不動産!$G$6:$G$14)</f>
        <v>0</v>
      </c>
      <c r="C13" s="15" t="s">
        <v>116</v>
      </c>
    </row>
    <row r="14" customFormat="false" ht="15" hidden="false" customHeight="false" outlineLevel="0" collapsed="false">
      <c r="A14" s="10" t="s">
        <v>117</v>
      </c>
      <c r="B14" s="28" t="n">
        <f aca="false">SUM(不動産!$H$6:$H$14)</f>
        <v>0</v>
      </c>
      <c r="C14" s="15"/>
    </row>
    <row r="15" customFormat="false" ht="15" hidden="false" customHeight="false" outlineLevel="0" collapsed="false">
      <c r="A15" s="10" t="s">
        <v>58</v>
      </c>
      <c r="B15" s="28" t="n">
        <f aca="false">SUM(不動産!$R$6:$R$14)</f>
        <v>0</v>
      </c>
      <c r="C15" s="15" t="s">
        <v>118</v>
      </c>
    </row>
    <row r="16" customFormat="false" ht="15" hidden="false" customHeight="false" outlineLevel="0" collapsed="false">
      <c r="A16" s="10" t="s">
        <v>119</v>
      </c>
      <c r="B16" s="34" t="n">
        <f aca="false">IFERROR(SUM(不動産!$R$6:$R$14)/SUM(不動産!$G$6:$G$14),0)</f>
        <v>0</v>
      </c>
      <c r="C16" s="15" t="s">
        <v>120</v>
      </c>
    </row>
    <row r="17" customFormat="false" ht="15" hidden="false" customHeight="false" outlineLevel="0" collapsed="false">
      <c r="A17" s="10" t="s">
        <v>121</v>
      </c>
      <c r="B17" s="28" t="n">
        <f aca="false">SUM(不動産!$T$6:$T$14)</f>
        <v>0</v>
      </c>
      <c r="C17" s="15" t="s">
        <v>122</v>
      </c>
    </row>
    <row r="19" customFormat="false" ht="15" hidden="false" customHeight="false" outlineLevel="0" collapsed="false">
      <c r="A19" s="14" t="s">
        <v>123</v>
      </c>
    </row>
    <row r="20" customFormat="false" ht="15" hidden="false" customHeight="false" outlineLevel="0" collapsed="false">
      <c r="A20" s="10" t="s">
        <v>124</v>
      </c>
      <c r="B20" s="28" t="n">
        <f aca="false">SUM(不動産!$H$6:$H$14)</f>
        <v>0</v>
      </c>
      <c r="C20" s="15"/>
    </row>
    <row r="21" customFormat="false" ht="15" hidden="false" customHeight="false" outlineLevel="0" collapsed="false">
      <c r="A21" s="10" t="s">
        <v>125</v>
      </c>
      <c r="B21" s="28" t="n">
        <f aca="false">SUM(その他の借入!E7:E15)</f>
        <v>0</v>
      </c>
      <c r="C21" s="15" t="s">
        <v>126</v>
      </c>
    </row>
    <row r="22" customFormat="false" ht="15" hidden="false" customHeight="false" outlineLevel="0" collapsed="false">
      <c r="A22" s="32" t="s">
        <v>127</v>
      </c>
      <c r="B22" s="33" t="n">
        <f aca="false">SUM(不動産!$H$6:$H$14)+SUM(その他の借入!E7:E15)</f>
        <v>0</v>
      </c>
      <c r="C22" s="15" t="s">
        <v>128</v>
      </c>
    </row>
    <row r="25" customFormat="false" ht="15" hidden="false" customHeight="false" outlineLevel="0" collapsed="false">
      <c r="A25" s="14" t="s">
        <v>129</v>
      </c>
    </row>
    <row r="26" customFormat="false" ht="15" hidden="false" customHeight="false" outlineLevel="0" collapsed="false">
      <c r="A26" s="15" t="s">
        <v>130</v>
      </c>
    </row>
    <row r="27" customFormat="false" ht="15" hidden="false" customHeight="false" outlineLevel="0" collapsed="false">
      <c r="A27" s="10" t="s">
        <v>131</v>
      </c>
      <c r="B27" s="35" t="str">
        <f aca="false">IF(SUMPRODUCT((不動産!A6:A14&lt;&gt;"")*(不動産!H6:H14&gt;不動産!G6:G14))&gt;0,"要確認","OK")</f>
        <v>OK</v>
      </c>
      <c r="C27" s="15" t="s">
        <v>132</v>
      </c>
    </row>
    <row r="28" customFormat="false" ht="15" hidden="false" customHeight="false" outlineLevel="0" collapsed="false">
      <c r="A28" s="10" t="s">
        <v>133</v>
      </c>
      <c r="B28" s="35" t="str">
        <f aca="false">IF(SUMPRODUCT((その他の借入!A7:A15&lt;&gt;"")*(その他の借入!E7:E15&gt;その他の借入!D7:D15))&gt;0,"要確認","OK")</f>
        <v>OK</v>
      </c>
      <c r="C28" s="15" t="s">
        <v>134</v>
      </c>
    </row>
    <row r="29" customFormat="false" ht="15" hidden="false" customHeight="false" outlineLevel="0" collapsed="false">
      <c r="A29" s="10" t="s">
        <v>135</v>
      </c>
      <c r="B29" s="35" t="str">
        <f aca="false">IF(SUMPRODUCT((不動産!F6:H14&lt;0)*1)+SUMPRODUCT((有価証券!D6:E13&lt;0)*1)&gt;0,"要確認","OK")</f>
        <v>OK</v>
      </c>
      <c r="C29" s="15" t="s">
        <v>136</v>
      </c>
    </row>
    <row r="30" customFormat="false" ht="15" hidden="false" customHeight="false" outlineLevel="0" collapsed="false">
      <c r="A30" s="10" t="s">
        <v>137</v>
      </c>
      <c r="B30" s="35" t="str">
        <f aca="false">IF(SUMPRODUCT(ISERROR(MATCH(有価証券!C6:C13,基本情報!$A$10:$A$13,0))*1)&gt;0,"要確認","OK")</f>
        <v>OK</v>
      </c>
      <c r="C30" s="15" t="s">
        <v>138</v>
      </c>
    </row>
    <row r="31" customFormat="false" ht="15" hidden="false" customHeight="false" outlineLevel="0" collapsed="false">
      <c r="A31" s="10" t="s">
        <v>139</v>
      </c>
      <c r="B31" s="35" t="str">
        <f aca="false">IF(OR(基本情報!B4="",基本情報!B5=""),"要確認","OK")</f>
        <v>OK</v>
      </c>
      <c r="C31" s="15" t="s">
        <v>140</v>
      </c>
    </row>
  </sheetData>
  <conditionalFormatting sqref="B27:B31">
    <cfRule type="cellIs" priority="2" operator="equal" aboveAverage="0" equalAverage="0" bottom="0" percent="0" rank="0" text="" dxfId="0">
      <formula>"要確認"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2026-09-03T13:09:55Z</dcterms:created>
  <dc:creator>openpyxl</dc:creator>
  <dc:description/>
  <dc:language>en-US</dc:language>
  <cp:lastModifiedBy/>
  <dcterms:modified xsi:type="dcterms:W3CDTF">2026-09-03T13:09:55Z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